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DieseArbeitsmappe" defaultThemeVersion="124226"/>
  <bookViews>
    <workbookView xWindow="120" yWindow="90" windowWidth="18915" windowHeight="12330"/>
  </bookViews>
  <sheets>
    <sheet name="Stringhe HPSU" sheetId="2" r:id="rId1"/>
    <sheet name="Setting ELM327" sheetId="3" r:id="rId2"/>
  </sheets>
  <functionGroups builtInGroupCount="17"/>
  <definedNames>
    <definedName name="_xlnm._FilterDatabase" localSheetId="0" hidden="1">'Stringhe HPSU'!$A$1:$F$73</definedName>
  </definedNames>
  <calcPr calcId="145621"/>
</workbook>
</file>

<file path=xl/calcChain.xml><?xml version="1.0" encoding="utf-8"?>
<calcChain xmlns="http://schemas.openxmlformats.org/spreadsheetml/2006/main">
  <c r="G49" i="2" l="1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F62" i="2"/>
  <c r="F63" i="2"/>
  <c r="F64" i="2"/>
  <c r="F65" i="2"/>
  <c r="F66" i="2"/>
  <c r="F67" i="2"/>
  <c r="F68" i="2"/>
  <c r="F69" i="2"/>
  <c r="F70" i="2"/>
  <c r="F71" i="2"/>
  <c r="F72" i="2"/>
  <c r="F73" i="2"/>
  <c r="C62" i="2"/>
  <c r="C63" i="2"/>
  <c r="C64" i="2"/>
  <c r="C65" i="2"/>
  <c r="C66" i="2"/>
  <c r="C67" i="2"/>
  <c r="C68" i="2"/>
  <c r="C69" i="2"/>
  <c r="C70" i="2"/>
  <c r="C71" i="2"/>
  <c r="C72" i="2"/>
  <c r="C73" i="2"/>
  <c r="F50" i="2"/>
  <c r="F51" i="2"/>
  <c r="F52" i="2"/>
  <c r="F53" i="2"/>
  <c r="F54" i="2"/>
  <c r="F55" i="2"/>
  <c r="F56" i="2"/>
  <c r="F57" i="2"/>
  <c r="F58" i="2"/>
  <c r="F59" i="2"/>
  <c r="F60" i="2"/>
  <c r="F61" i="2"/>
  <c r="C50" i="2"/>
  <c r="C51" i="2"/>
  <c r="C52" i="2"/>
  <c r="C53" i="2"/>
  <c r="C54" i="2"/>
  <c r="C55" i="2"/>
  <c r="C56" i="2"/>
  <c r="C57" i="2"/>
  <c r="C58" i="2"/>
  <c r="C59" i="2"/>
  <c r="C60" i="2"/>
  <c r="C61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E62" i="2"/>
  <c r="E66" i="2"/>
  <c r="E70" i="2"/>
  <c r="E69" i="2"/>
  <c r="E63" i="2"/>
  <c r="E67" i="2"/>
  <c r="E71" i="2"/>
  <c r="E64" i="2"/>
  <c r="E68" i="2"/>
  <c r="E72" i="2"/>
  <c r="E65" i="2"/>
  <c r="E73" i="2"/>
  <c r="E54" i="2"/>
  <c r="E52" i="2"/>
  <c r="E56" i="2"/>
  <c r="E60" i="2"/>
  <c r="E53" i="2"/>
  <c r="E57" i="2"/>
  <c r="E61" i="2"/>
  <c r="E50" i="2"/>
  <c r="E58" i="2"/>
  <c r="E51" i="2"/>
  <c r="E55" i="2"/>
  <c r="E59" i="2"/>
  <c r="E5" i="2"/>
  <c r="E19" i="2"/>
  <c r="E39" i="2"/>
  <c r="E40" i="2"/>
  <c r="E15" i="2"/>
  <c r="E16" i="2"/>
  <c r="E38" i="2"/>
  <c r="E20" i="2"/>
  <c r="E14" i="2"/>
  <c r="E13" i="2"/>
  <c r="E42" i="2"/>
  <c r="E29" i="2"/>
  <c r="E48" i="2"/>
  <c r="E2" i="2"/>
  <c r="E22" i="2"/>
  <c r="E10" i="2"/>
  <c r="E26" i="2"/>
  <c r="E37" i="2"/>
  <c r="E43" i="2"/>
  <c r="E30" i="2"/>
  <c r="E44" i="2"/>
  <c r="E9" i="2"/>
  <c r="E11" i="2"/>
  <c r="E36" i="2"/>
  <c r="E31" i="2"/>
  <c r="E23" i="2"/>
  <c r="E49" i="2"/>
  <c r="E46" i="2"/>
  <c r="E18" i="2"/>
  <c r="E41" i="2"/>
  <c r="E24" i="2"/>
  <c r="E28" i="2"/>
  <c r="E34" i="2"/>
  <c r="E6" i="2"/>
  <c r="E8" i="2"/>
  <c r="E17" i="2"/>
  <c r="E25" i="2"/>
  <c r="E27" i="2"/>
  <c r="E21" i="2"/>
  <c r="E12" i="2"/>
  <c r="E35" i="2"/>
  <c r="E45" i="2"/>
  <c r="E47" i="2"/>
  <c r="E32" i="2"/>
  <c r="E33" i="2"/>
  <c r="E7" i="2"/>
  <c r="E4" i="2"/>
  <c r="E3" i="2"/>
</calcChain>
</file>

<file path=xl/comments1.xml><?xml version="1.0" encoding="utf-8"?>
<comments xmlns="http://schemas.openxmlformats.org/spreadsheetml/2006/main">
  <authors>
    <author>Brutto Vanni</author>
  </authors>
  <commentList>
    <comment ref="A2" authorId="0">
      <text>
        <r>
          <rPr>
            <sz val="8"/>
            <color indexed="81"/>
            <rFont val="Tahoma"/>
            <family val="2"/>
          </rPr>
          <t>Viene visualizzata la temperatura corrente (di mandata) del generatore di calore.</t>
        </r>
      </text>
    </comment>
    <comment ref="A4" authorId="0">
      <text>
        <r>
          <rPr>
            <sz val="8"/>
            <color indexed="81"/>
            <rFont val="Tahoma"/>
            <charset val="1"/>
          </rPr>
          <t>Viene visualizzata la pressione idrica corrente espressa in bar.</t>
        </r>
      </text>
    </comment>
    <comment ref="A6" authorId="0">
      <text>
        <r>
          <rPr>
            <sz val="8"/>
            <color indexed="81"/>
            <rFont val="Tahoma"/>
            <family val="2"/>
          </rPr>
          <t>Viene visualizzata la temperatura nominale corrente del generatore di calore in °C con un valore
decimale.</t>
        </r>
      </text>
    </comment>
    <comment ref="A8" authorId="0">
      <text>
        <r>
          <rPr>
            <sz val="8"/>
            <color indexed="81"/>
            <rFont val="Tahoma"/>
            <family val="2"/>
          </rPr>
          <t>Viene visualizzata la temperatura esterna corrente in °C con un valore decimale.</t>
        </r>
      </text>
    </comment>
    <comment ref="A10" authorId="0">
      <text>
        <r>
          <rPr>
            <sz val="8"/>
            <color indexed="81"/>
            <rFont val="Tahoma"/>
            <family val="2"/>
          </rPr>
          <t>Viene visualizzata la temperatura corrente del bollitore di acqua calda in°C con un valore decimale.
Se non fosse attivata alcuna funzione acqua calda, sarebbe visualizzato "- - -".</t>
        </r>
      </text>
    </comment>
    <comment ref="A12" authorId="0">
      <text>
        <r>
          <rPr>
            <sz val="8"/>
            <color indexed="81"/>
            <rFont val="Tahoma"/>
            <family val="2"/>
          </rPr>
          <t>Viene visualizzata la temperatura nominale corrente per l'approntamento di acqua calda in °C
con un valore decimale. Se non fosse attivata alcuna funzione acqua calda, sarebbe visualizzato
"- - -". Il valore nominale corrente qui è sempre il valore massimo di tutte le richieste rilevanti
per questo circuito dell'acqua calda.</t>
        </r>
      </text>
    </comment>
    <comment ref="A14" authorId="0">
      <text>
        <r>
          <rPr>
            <sz val="8"/>
            <color indexed="81"/>
            <rFont val="Tahoma"/>
            <family val="2"/>
          </rPr>
          <t>Viene visualizzata la temperatura di ritorno corrente del generatore di calore in °C con un valore
decimale. Se non è collegato il relativo sensore al generatore di calore, viene visualizzato "- - -".</t>
        </r>
      </text>
    </comment>
    <comment ref="A16" authorId="0">
      <text>
        <r>
          <rPr>
            <sz val="8"/>
            <color indexed="81"/>
            <rFont val="Tahoma"/>
            <family val="2"/>
          </rPr>
          <t>Viene visualizzato il valore filtrato del flusso di volume corrente.</t>
        </r>
      </text>
    </comment>
    <comment ref="A18" authorId="0">
      <text>
        <r>
          <rPr>
            <sz val="8"/>
            <color indexed="81"/>
            <rFont val="Tahoma"/>
            <family val="2"/>
          </rPr>
          <t>Viene visualizzata la temperatura del circuito di riscaldamento diretto in °C con un valore decimale.</t>
        </r>
      </text>
    </comment>
    <comment ref="A20" authorId="0">
      <text>
        <r>
          <rPr>
            <sz val="8"/>
            <color indexed="81"/>
            <rFont val="Tahoma"/>
            <family val="2"/>
          </rPr>
          <t>Viene visualizzata la temperatura nominale (di mandata) del circuito di riscaldamento diretto in
°C con un valore decimale.</t>
        </r>
      </text>
    </comment>
    <comment ref="A22" authorId="0">
      <text>
        <r>
          <rPr>
            <sz val="8"/>
            <color indexed="81"/>
            <rFont val="Tahoma"/>
            <family val="2"/>
          </rPr>
          <t>Indicazione dello stato attuale della pompa di circolazione per riscaldamento interna del ROTEX
HPSU compact.</t>
        </r>
      </text>
    </comment>
    <comment ref="A24" authorId="0">
      <text>
        <r>
          <rPr>
            <sz val="8"/>
            <color indexed="81"/>
            <rFont val="Tahoma"/>
            <family val="2"/>
          </rPr>
          <t>Viene visualizzato il tempo di funzionamento del compressore espresso in ore.</t>
        </r>
      </text>
    </comment>
    <comment ref="A26" authorId="0">
      <text>
        <r>
          <rPr>
            <sz val="8"/>
            <color indexed="81"/>
            <rFont val="Tahoma"/>
            <family val="2"/>
          </rPr>
          <t>Viene visualizzato il tempo di funzionamento della pompa.</t>
        </r>
      </text>
    </comment>
    <comment ref="A28" authorId="0">
      <text>
        <r>
          <rPr>
            <sz val="8"/>
            <color indexed="81"/>
            <rFont val="Tahoma"/>
            <family val="2"/>
          </rPr>
          <t>Viene visualizzata la direzione di flusso nella valvola a 3 vie
HZ: Riscaldamento ambiente
WW: Produzione di acqua calda</t>
        </r>
      </text>
    </comment>
    <comment ref="A30" authorId="0">
      <text>
        <r>
          <rPr>
            <sz val="8"/>
            <color indexed="81"/>
            <rFont val="Tahoma"/>
            <family val="2"/>
          </rPr>
          <t>Viene visualizzata la quantità di calore del riscaldamento di riserva per l'approntamento di acqua
calda in kWh.</t>
        </r>
      </text>
    </comment>
    <comment ref="A32" authorId="0">
      <text>
        <r>
          <rPr>
            <sz val="8"/>
            <color indexed="81"/>
            <rFont val="Tahoma"/>
            <family val="2"/>
          </rPr>
          <t>Viene visualizzata la quantità di calore del riscaldamento di riserva per la modalità di riscaldamento
in kWh.</t>
        </r>
      </text>
    </comment>
    <comment ref="A34" authorId="0">
      <text>
        <r>
          <rPr>
            <sz val="8"/>
            <color indexed="81"/>
            <rFont val="Tahoma"/>
            <family val="2"/>
          </rPr>
          <t>Viene visualizzata la quantità di calore della pompa di calore per la modalità di raffreddamento
in kWh.</t>
        </r>
      </text>
    </comment>
    <comment ref="A36" authorId="0">
      <text>
        <r>
          <rPr>
            <sz val="8"/>
            <color indexed="81"/>
            <rFont val="Tahoma"/>
            <family val="2"/>
          </rPr>
          <t>Viene visualizzata la quantità di calore della pompa di calore per la modalità di riscaldamento
in kWh.</t>
        </r>
      </text>
    </comment>
    <comment ref="A38" authorId="0">
      <text>
        <r>
          <rPr>
            <sz val="8"/>
            <color indexed="81"/>
            <rFont val="Tahoma"/>
            <family val="2"/>
          </rPr>
          <t>Viene visualizzata l'intera quantità di calore della pompa di calore in kWh.</t>
        </r>
      </text>
    </comment>
    <comment ref="A40" authorId="0">
      <text>
        <r>
          <rPr>
            <sz val="8"/>
            <color indexed="81"/>
            <rFont val="Tahoma"/>
            <family val="2"/>
          </rPr>
          <t>Viene visualizzata la quantità di calore per l'approntamento di acqua calda in kWh.</t>
        </r>
      </text>
    </comment>
    <comment ref="A50" authorId="0">
      <text>
        <r>
          <rPr>
            <sz val="8"/>
            <color indexed="81"/>
            <rFont val="Tahoma"/>
            <family val="2"/>
          </rPr>
          <t>Temperatura di mandata attuale riscaldamento
(tV,BH).</t>
        </r>
      </text>
    </comment>
    <comment ref="A52" authorId="0">
      <text>
        <r>
          <rPr>
            <sz val="8"/>
            <color indexed="81"/>
            <rFont val="Tahoma"/>
            <family val="2"/>
          </rPr>
          <t>Temperatura corrente del refrigerante (tliq2).</t>
        </r>
      </text>
    </comment>
    <comment ref="A54" authorId="0">
      <text>
        <r>
          <rPr>
            <sz val="8"/>
            <color indexed="81"/>
            <rFont val="Tahoma"/>
            <family val="2"/>
          </rPr>
          <t>Temperatura di ritorno attuale riscaldamento,
sensore secondario (tR2).</t>
        </r>
      </text>
    </comment>
    <comment ref="A56" authorId="0">
      <text>
        <r>
          <rPr>
            <sz val="8"/>
            <color indexed="81"/>
            <rFont val="Tahoma"/>
            <family val="2"/>
          </rPr>
          <t>Temperatura esterna attuale (misurata dalla
sonda della pompa di calore esterna).</t>
        </r>
      </text>
    </comment>
    <comment ref="A58" authorId="0">
      <text>
        <r>
          <rPr>
            <sz val="8"/>
            <color indexed="81"/>
            <rFont val="Tahoma"/>
            <family val="2"/>
          </rPr>
          <t>Temperatura dell'acqua calda attuale nel bollitore
dell'acqua calda, sensore secondario (tDHW2).</t>
        </r>
      </text>
    </comment>
    <comment ref="A60" authorId="0">
      <text>
        <r>
          <rPr>
            <sz val="8"/>
            <color indexed="81"/>
            <rFont val="Tahoma"/>
            <family val="2"/>
          </rPr>
          <t>Indica lo stato di funzionamento silenzioso.</t>
        </r>
      </text>
    </comment>
    <comment ref="A62" authorId="0">
      <text>
        <r>
          <rPr>
            <sz val="8"/>
            <color indexed="81"/>
            <rFont val="Tahoma"/>
            <family val="2"/>
          </rPr>
          <t>Modalità attuale della pompa di calore:
: riscaldare
: Raffreddare
: Produzione di acqua calda
: Funzione scongelamento attiva</t>
        </r>
      </text>
    </comment>
    <comment ref="A64" authorId="0">
      <text>
        <r>
          <rPr>
            <sz val="8"/>
            <color indexed="81"/>
            <rFont val="Tahoma"/>
            <family val="2"/>
          </rPr>
          <t>Potenza attuale della pompa di circolazione per
riscaldamento interna in %.</t>
        </r>
      </text>
    </comment>
    <comment ref="A66" authorId="0">
      <text>
        <r>
          <rPr>
            <sz val="8"/>
            <color indexed="81"/>
            <rFont val="Tahoma"/>
            <family val="2"/>
          </rPr>
          <t>Modalità energetica attuale della pompa di calore:
LT: Funzione EVU attiva e tariffa ridotta.
HT: Funzione EVU attiva e tariffa normale.
SGN: SMART GRID - Funzione attiva, funzionamento
normale.
SG1: SMART GRID - Funzione attiva, lancio,
corrente più cara.
SG2: SMART GRID - Funzione attiva, funzionamento
aumentato, corrente più conveniente.
SG3: SMART GRID - Funzione attiva, comando di
attivazione e funzionamento aumentato, corrente
più conveniente.
- - -: Nessuna modalità esterna attiva, la pompa di
calore funziona in modo normale.</t>
        </r>
      </text>
    </comment>
    <comment ref="A68" authorId="0">
      <text>
        <r>
          <rPr>
            <sz val="8"/>
            <color indexed="81"/>
            <rFont val="Tahoma"/>
            <family val="2"/>
          </rPr>
          <t>Potenza attuale del Backup-Heater (BUH)
in kW.</t>
        </r>
      </text>
    </comment>
    <comment ref="A70" authorId="0">
      <text>
        <r>
          <rPr>
            <sz val="8"/>
            <color indexed="81"/>
            <rFont val="Tahoma"/>
            <family val="2"/>
          </rPr>
          <t>Parametro [Room thermostat] = Off: - - -
Parametro [Room thermostat] = On:
– : Richiesta di calore
– : Nessuna richiesta di calore</t>
        </r>
      </text>
    </comment>
    <comment ref="A72" authorId="0">
      <text>
        <r>
          <rPr>
            <sz val="8"/>
            <color indexed="81"/>
            <rFont val="Tahoma"/>
            <family val="2"/>
          </rPr>
          <t>Posizione attuale della valvola di miscelazione
3UVB1 (100 % = A, 0 % = B).</t>
        </r>
      </text>
    </comment>
  </commentList>
</comments>
</file>

<file path=xl/sharedStrings.xml><?xml version="1.0" encoding="utf-8"?>
<sst xmlns="http://schemas.openxmlformats.org/spreadsheetml/2006/main" count="140" uniqueCount="132">
  <si>
    <t>22 0A FA C1 03 01 36</t>
  </si>
  <si>
    <t>TR2 [°C]</t>
  </si>
  <si>
    <t>31 00 FA C1 04</t>
  </si>
  <si>
    <t>22 0A FA C1 04 00 FA</t>
  </si>
  <si>
    <t>TA2 [°C]</t>
  </si>
  <si>
    <t>31 00 FA C1 05</t>
  </si>
  <si>
    <t>22 0A FA C1 05 00 4B</t>
  </si>
  <si>
    <t>Tdhw2 [°C]</t>
  </si>
  <si>
    <t>31 00 FA C1 06</t>
  </si>
  <si>
    <t>22 0A FA C1 06 01 C3</t>
  </si>
  <si>
    <t>quiet:</t>
  </si>
  <si>
    <t>31 00 FA C1 07</t>
  </si>
  <si>
    <t>22 0A FA C1 07 00 00</t>
  </si>
  <si>
    <t>Mode</t>
  </si>
  <si>
    <t>Pump</t>
  </si>
  <si>
    <t>Ext</t>
  </si>
  <si>
    <t>EHS</t>
  </si>
  <si>
    <t>RT</t>
  </si>
  <si>
    <t>31 00 FA C0 F6</t>
  </si>
  <si>
    <t>22 0A FA C0 F6 00 01</t>
  </si>
  <si>
    <t>31 00 FA C0 F7</t>
  </si>
  <si>
    <t>22 0A FA C0 F7 00 4C</t>
  </si>
  <si>
    <t>31 00 FA C0 F8</t>
  </si>
  <si>
    <t>22 0A FA C0 F8 00 00</t>
  </si>
  <si>
    <t>31 00 FA C0 F9</t>
  </si>
  <si>
    <t>22 0A FA C0 F9 00 00</t>
  </si>
  <si>
    <t>31 00 FA C0 FA</t>
  </si>
  <si>
    <t>22 0A FA C0 FA 00 01</t>
  </si>
  <si>
    <t>BPV</t>
  </si>
  <si>
    <t>31 00 FA C0 FB</t>
  </si>
  <si>
    <t>22 0A FA C0 FB 00 00</t>
  </si>
  <si>
    <t>31 00 FA 01 D6 00 00</t>
  </si>
  <si>
    <t>T-GDC</t>
  </si>
  <si>
    <t>Pressione Acqua</t>
  </si>
  <si>
    <t>31 00 02 00 00 00 00</t>
  </si>
  <si>
    <t>T-GDC nom</t>
  </si>
  <si>
    <t>32 10 FA C0 B4 00 22</t>
  </si>
  <si>
    <t>T-Esterna</t>
  </si>
  <si>
    <t>T-ACS</t>
  </si>
  <si>
    <t>31 00 0E 00 00 00 00</t>
  </si>
  <si>
    <t>32 10 0E 01 B1 00 00</t>
  </si>
  <si>
    <t xml:space="preserve">31 00 03 00 00 00 00 </t>
  </si>
  <si>
    <t xml:space="preserve">32 10 03 01 CC 00 00 </t>
  </si>
  <si>
    <t>T-ritorno</t>
  </si>
  <si>
    <t>31 00 16 00 00 00 00</t>
  </si>
  <si>
    <t xml:space="preserve">32 10 16 00 DF 00 00 </t>
  </si>
  <si>
    <t>Flusso volumetrico</t>
  </si>
  <si>
    <t>31 00 FA 01 DA 00 00</t>
  </si>
  <si>
    <t xml:space="preserve">32 10 FA 01 DA 05 70 </t>
  </si>
  <si>
    <t>C1 00 0F 00 00 00 00</t>
  </si>
  <si>
    <t xml:space="preserve">22 0A 0F 00 EB 00 00 </t>
  </si>
  <si>
    <t>61 00 04 00 00 00 00</t>
  </si>
  <si>
    <t xml:space="preserve">62 10 04 01 01 00 00 </t>
  </si>
  <si>
    <t>Status pompa</t>
  </si>
  <si>
    <t xml:space="preserve">31 00 FA 0A 8C 00 00 </t>
  </si>
  <si>
    <t>32 10 FA 0A 8C 00 01</t>
  </si>
  <si>
    <t>61 00 FA 0A 0C 00 00</t>
  </si>
  <si>
    <t>62 10 FA 0A 0C 00 09</t>
  </si>
  <si>
    <t>Tempo oper comp</t>
  </si>
  <si>
    <t>31 00 FA 06 A5 00 00</t>
  </si>
  <si>
    <t>32 10 FA 06 A5 01 98</t>
  </si>
  <si>
    <t>Tempo per pompa</t>
  </si>
  <si>
    <t xml:space="preserve">31 00 FA 06 A4 00 00 </t>
  </si>
  <si>
    <t>32 10 FA 06 A4 02 36</t>
  </si>
  <si>
    <t>PosMix</t>
  </si>
  <si>
    <t>31 00 FA 06 9B 00 00</t>
  </si>
  <si>
    <t xml:space="preserve">32 10 FA 06 9B 00 00 </t>
  </si>
  <si>
    <t>Qboh</t>
  </si>
  <si>
    <t>31 00 FA 09 1C 00 00</t>
  </si>
  <si>
    <t xml:space="preserve">32 10 FA 09 1C 00 18 </t>
  </si>
  <si>
    <t>31 00 FA 09 20 00 00</t>
  </si>
  <si>
    <t xml:space="preserve">32 10 FA 09 20 00 04 </t>
  </si>
  <si>
    <t>Qchhp</t>
  </si>
  <si>
    <t xml:space="preserve">31 00 FA 06 A6 00 00 </t>
  </si>
  <si>
    <t>32 10 FA 06 A6 00 00</t>
  </si>
  <si>
    <t>Qsc</t>
  </si>
  <si>
    <t xml:space="preserve">31 00 FA 06 A7 00 00 </t>
  </si>
  <si>
    <t xml:space="preserve">32 10 FA 06 A7 08 AF </t>
  </si>
  <si>
    <t>Qch</t>
  </si>
  <si>
    <t xml:space="preserve">31 00 FA 09 30 00 00 </t>
  </si>
  <si>
    <t>32 10 FA 09 30 0A 13</t>
  </si>
  <si>
    <t>QWP</t>
  </si>
  <si>
    <t>31 00 FA 09 2C 00 00</t>
  </si>
  <si>
    <t xml:space="preserve">32 10 FA 09 2C 01 7B </t>
  </si>
  <si>
    <t>Qdhw</t>
  </si>
  <si>
    <t>31 00 FA 01 99 00 00</t>
  </si>
  <si>
    <t>32 10 FA 01 99 01 6E</t>
  </si>
  <si>
    <t>31 00 FA C0 B4 00 00</t>
  </si>
  <si>
    <t>Versione SW 2</t>
  </si>
  <si>
    <t>31 00 FA 02 4B 00 00</t>
  </si>
  <si>
    <t xml:space="preserve">32 10 FA 02 4B 20 41 </t>
  </si>
  <si>
    <t>Versione SW 3</t>
  </si>
  <si>
    <t>Modo ?</t>
  </si>
  <si>
    <t>31 00 FA 01 12 00 00</t>
  </si>
  <si>
    <t>32 10 FA 01 12 03 00</t>
  </si>
  <si>
    <t>Comando</t>
  </si>
  <si>
    <t>Divisore</t>
  </si>
  <si>
    <t>ID Ricevente</t>
  </si>
  <si>
    <t>Valore</t>
  </si>
  <si>
    <t>Parametro</t>
  </si>
  <si>
    <t>Tipo Comando</t>
  </si>
  <si>
    <t>Note</t>
  </si>
  <si>
    <t>1 = On, 0 = Off</t>
  </si>
  <si>
    <t>Readonly ? Di Sistema ?</t>
  </si>
  <si>
    <t>E' una combinazione di bit in OR</t>
  </si>
  <si>
    <t>Versione SW 1</t>
  </si>
  <si>
    <t>In Ore</t>
  </si>
  <si>
    <t>Gradi</t>
  </si>
  <si>
    <t>Bar</t>
  </si>
  <si>
    <t>Litri/ora</t>
  </si>
  <si>
    <t>T-ACS nom</t>
  </si>
  <si>
    <t>Temp. Circ. Riscald</t>
  </si>
  <si>
    <t>Temp. Circ Risc Nom</t>
  </si>
  <si>
    <t>AT PP 2F SV 19</t>
  </si>
  <si>
    <t>AT PP 2F ON</t>
  </si>
  <si>
    <t>AT D</t>
  </si>
  <si>
    <t>AT SP C</t>
  </si>
  <si>
    <t>AT H1</t>
  </si>
  <si>
    <t>AT MA</t>
  </si>
  <si>
    <t>Seleziona 20000 baud</t>
  </si>
  <si>
    <t>Salva il parametro</t>
  </si>
  <si>
    <t>Reset filtri</t>
  </si>
  <si>
    <t>Cambia protocollo CAN</t>
  </si>
  <si>
    <t>Abilita headers</t>
  </si>
  <si>
    <t>Modalità sniffing</t>
  </si>
  <si>
    <t>TVBH2 [°C]</t>
  </si>
  <si>
    <t>31 00 FA C1 02</t>
  </si>
  <si>
    <t>22 0A FA C1 02 01 3B</t>
  </si>
  <si>
    <t>Tliq2 [°C]</t>
  </si>
  <si>
    <t>31 00 FA C1 03</t>
  </si>
  <si>
    <t>32 10 FA 01 D6 01 0C</t>
  </si>
  <si>
    <t>32 10 02 01 01 00 00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</si>
</sst>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name val="Arial"/>
      <family val="2"/>
    </font>
    <font>
      <sz val="8"/>
      <color indexed="81"/>
      <name val="Tahoma"/>
      <family val="2"/>
    </font>
    <font>
      <sz val="10"/>
      <color rgb="FFA40000"/>
      <name val="Verdana"/>
      <family val="2"/>
    </font>
    <font>
      <sz val="8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 wrapText="1"/>
    </xf>
    <xf numFmtId="0" fontId="4" fillId="0" borderId="2" xfId="0" applyFont="1" applyBorder="1" applyAlignment="1">
      <alignment horizontal="left" wrapText="1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0" fontId="4" fillId="0" borderId="3" xfId="0" applyFont="1" applyBorder="1" applyAlignment="1">
      <alignment horizontal="left" wrapText="1"/>
    </xf>
    <xf numFmtId="0" fontId="4" fillId="0" borderId="4" xfId="0" applyFont="1" applyBorder="1"/>
    <xf numFmtId="0" fontId="4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0" fontId="3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left" wrapText="1"/>
    </xf>
    <xf numFmtId="0" fontId="6" fillId="0" borderId="0" xfId="0" applyFont="1"/>
  </cellXfs>
  <cellStyles count="1">
    <cellStyle name="Normale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alignment horizontal="left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</xdr:row>
      <xdr:rowOff>38100</xdr:rowOff>
    </xdr:from>
    <xdr:to>
      <xdr:col>10</xdr:col>
      <xdr:colOff>180272</xdr:colOff>
      <xdr:row>25</xdr:row>
      <xdr:rowOff>47053</xdr:rowOff>
    </xdr:to>
    <xdr:pic>
      <xdr:nvPicPr>
        <xdr:cNvPr id="2" name="Immagin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228600"/>
          <a:ext cx="5628572" cy="458095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ella1" displayName="Tabella1" ref="A1:G73" totalsRowShown="0" headerRowDxfId="10" headerRowBorderDxfId="9" tableBorderDxfId="8" totalsRowBorderDxfId="7">
  <autoFilter ref="A1:G73"/>
  <tableColumns count="7">
    <tableColumn id="1" name="Parametro" dataDxfId="6"/>
    <tableColumn id="2" name="Comando" dataDxfId="5"/>
    <tableColumn id="8" name="Tipo Comando" dataDxfId="4"/>
    <tableColumn id="3" name="Divisore" dataDxfId="3"/>
    <tableColumn id="5" name="ID Ricevente" dataDxfId="2"/>
    <tableColumn id="6" name="Readonly ? Di Sistema ?" dataDxfId="1"/>
    <tableColumn id="7" name="Valor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H73"/>
  <sheetViews>
    <sheetView tabSelected="1" workbookViewId="0">
      <pane ySplit="1" topLeftCell="A2" activePane="bottomLeft" state="frozen"/>
      <selection pane="bottomLeft"/>
    </sheetView>
  </sheetViews>
  <sheetFormatPr defaultColWidth="11.7109375" defaultRowHeight="12" x14ac:dyDescent="0.2"/>
  <cols>
    <col min="1" max="1" width="34.85546875" style="3" bestFit="1" customWidth="1"/>
    <col min="2" max="2" width="18.140625" style="1" bestFit="1" customWidth="1"/>
    <col min="3" max="3" width="18.140625" style="1" customWidth="1"/>
    <col min="4" max="4" width="11.140625" style="1" bestFit="1" customWidth="1"/>
    <col min="5" max="5" width="15.28515625" style="1" bestFit="1" customWidth="1"/>
    <col min="6" max="6" width="25" style="2" bestFit="1" customWidth="1"/>
    <col min="7" max="7" width="12" style="1" customWidth="1"/>
    <col min="8" max="8" width="30.42578125" style="1" bestFit="1" customWidth="1"/>
    <col min="9" max="16384" width="11.7109375" style="1"/>
  </cols>
  <sheetData>
    <row r="1" spans="1:8" x14ac:dyDescent="0.2">
      <c r="A1" s="10" t="s">
        <v>99</v>
      </c>
      <c r="B1" s="11" t="s">
        <v>95</v>
      </c>
      <c r="C1" s="11" t="s">
        <v>100</v>
      </c>
      <c r="D1" s="11" t="s">
        <v>96</v>
      </c>
      <c r="E1" s="11" t="s">
        <v>97</v>
      </c>
      <c r="F1" s="11" t="s">
        <v>103</v>
      </c>
      <c r="G1" s="11" t="s">
        <v>98</v>
      </c>
      <c r="H1" s="11" t="s">
        <v>101</v>
      </c>
    </row>
    <row r="2" spans="1:8" x14ac:dyDescent="0.2">
      <c r="A2" s="12" t="s">
        <v>32</v>
      </c>
      <c r="B2" s="5" t="s">
        <v>31</v>
      </c>
      <c r="C2" s="6" t="str">
        <f t="shared" ref="C2:C65" si="0">IF(MID(B2,2,1)="1","Richiesta","Risposta")</f>
        <v>Richiesta</v>
      </c>
      <c r="D2" s="5"/>
      <c r="E2" s="6" t="str">
        <f t="shared" ref="E2:E8" si="1">DEC2HEX(BITAND(HEX2DEC(MID(B2,1,2)),HEX2DEC("F0"))*8+BITAND(HEX2DEC(MID(B2,4,2)),HEX2DEC("0F")))</f>
        <v>180</v>
      </c>
      <c r="F2" s="6" t="str">
        <f t="shared" ref="F2:F49" si="2">IF(MID(B2,7,2)="FA","Si","No")</f>
        <v>Si</v>
      </c>
      <c r="G2" s="6" t="str">
        <f t="shared" ref="G2:G48" si="3">IF(D2&lt;&gt;"",IF(MID(B2,7,2)="FA",HEX2DEC(MID(B2,16,2)&amp;MID(B2,19,2))/D2,HEX2DEC(MID(B2,10,2)&amp;MID(B2,13,2))/D2),"")</f>
        <v/>
      </c>
      <c r="H2" s="9"/>
    </row>
    <row r="3" spans="1:8" x14ac:dyDescent="0.2">
      <c r="A3" s="12"/>
      <c r="B3" s="5" t="s">
        <v>130</v>
      </c>
      <c r="C3" s="6" t="str">
        <f t="shared" si="0"/>
        <v>Risposta</v>
      </c>
      <c r="D3" s="5">
        <v>10</v>
      </c>
      <c r="E3" s="6" t="str">
        <f t="shared" si="1"/>
        <v>180</v>
      </c>
      <c r="F3" s="6" t="str">
        <f t="shared" si="2"/>
        <v>Si</v>
      </c>
      <c r="G3" s="6">
        <f t="shared" si="3"/>
        <v>26.8</v>
      </c>
      <c r="H3" s="6" t="s">
        <v>107</v>
      </c>
    </row>
    <row r="4" spans="1:8" x14ac:dyDescent="0.2">
      <c r="A4" s="12" t="s">
        <v>33</v>
      </c>
      <c r="B4" s="5" t="s">
        <v>87</v>
      </c>
      <c r="C4" s="6" t="str">
        <f t="shared" si="0"/>
        <v>Richiesta</v>
      </c>
      <c r="D4" s="5"/>
      <c r="E4" s="6" t="str">
        <f t="shared" si="1"/>
        <v>180</v>
      </c>
      <c r="F4" s="6" t="str">
        <f t="shared" si="2"/>
        <v>Si</v>
      </c>
      <c r="G4" s="6" t="str">
        <f t="shared" si="3"/>
        <v/>
      </c>
      <c r="H4" s="9"/>
    </row>
    <row r="5" spans="1:8" x14ac:dyDescent="0.2">
      <c r="A5" s="12"/>
      <c r="B5" s="5" t="s">
        <v>36</v>
      </c>
      <c r="C5" s="6" t="str">
        <f t="shared" si="0"/>
        <v>Risposta</v>
      </c>
      <c r="D5" s="5">
        <v>20</v>
      </c>
      <c r="E5" s="6" t="str">
        <f t="shared" si="1"/>
        <v>180</v>
      </c>
      <c r="F5" s="6" t="str">
        <f t="shared" si="2"/>
        <v>Si</v>
      </c>
      <c r="G5" s="6">
        <f t="shared" si="3"/>
        <v>1.7</v>
      </c>
      <c r="H5" s="6" t="s">
        <v>108</v>
      </c>
    </row>
    <row r="6" spans="1:8" x14ac:dyDescent="0.2">
      <c r="A6" s="12" t="s">
        <v>35</v>
      </c>
      <c r="B6" s="5" t="s">
        <v>34</v>
      </c>
      <c r="C6" s="6" t="str">
        <f t="shared" si="0"/>
        <v>Richiesta</v>
      </c>
      <c r="D6" s="5"/>
      <c r="E6" s="6" t="str">
        <f t="shared" si="1"/>
        <v>180</v>
      </c>
      <c r="F6" s="6" t="str">
        <f t="shared" si="2"/>
        <v>No</v>
      </c>
      <c r="G6" s="6" t="str">
        <f t="shared" si="3"/>
        <v/>
      </c>
      <c r="H6" s="9"/>
    </row>
    <row r="7" spans="1:8" x14ac:dyDescent="0.2">
      <c r="A7" s="12"/>
      <c r="B7" s="5" t="s">
        <v>131</v>
      </c>
      <c r="C7" s="6" t="str">
        <f t="shared" si="0"/>
        <v>Risposta</v>
      </c>
      <c r="D7" s="5">
        <v>10</v>
      </c>
      <c r="E7" s="6" t="str">
        <f t="shared" si="1"/>
        <v>180</v>
      </c>
      <c r="F7" s="6" t="str">
        <f t="shared" si="2"/>
        <v>No</v>
      </c>
      <c r="G7" s="6">
        <f t="shared" si="3"/>
        <v>25.7</v>
      </c>
      <c r="H7" s="6" t="s">
        <v>107</v>
      </c>
    </row>
    <row r="8" spans="1:8" x14ac:dyDescent="0.2">
      <c r="A8" s="12" t="s">
        <v>37</v>
      </c>
      <c r="B8" s="5" t="s">
        <v>56</v>
      </c>
      <c r="C8" s="6" t="str">
        <f t="shared" si="0"/>
        <v>Richiesta</v>
      </c>
      <c r="D8" s="5"/>
      <c r="E8" s="6" t="str">
        <f t="shared" si="1"/>
        <v>300</v>
      </c>
      <c r="F8" s="6" t="str">
        <f t="shared" si="2"/>
        <v>Si</v>
      </c>
      <c r="G8" s="6" t="str">
        <f t="shared" si="3"/>
        <v/>
      </c>
      <c r="H8" s="9"/>
    </row>
    <row r="9" spans="1:8" x14ac:dyDescent="0.2">
      <c r="A9" s="12"/>
      <c r="B9" s="5" t="s">
        <v>57</v>
      </c>
      <c r="C9" s="6" t="str">
        <f t="shared" si="0"/>
        <v>Risposta</v>
      </c>
      <c r="D9" s="5">
        <v>10</v>
      </c>
      <c r="E9" s="6" t="str">
        <f t="shared" ref="E9:E23" si="4">DEC2HEX(BITAND(HEX2DEC(MID(B9,1,2)),HEX2DEC("F0"))*8+BITAND(HEX2DEC(MID(B9,4,2)),HEX2DEC("0F")))</f>
        <v>300</v>
      </c>
      <c r="F9" s="6" t="str">
        <f t="shared" si="2"/>
        <v>Si</v>
      </c>
      <c r="G9" s="6">
        <f t="shared" si="3"/>
        <v>0.9</v>
      </c>
      <c r="H9" s="6" t="s">
        <v>107</v>
      </c>
    </row>
    <row r="10" spans="1:8" x14ac:dyDescent="0.2">
      <c r="A10" s="12" t="s">
        <v>38</v>
      </c>
      <c r="B10" s="5" t="s">
        <v>39</v>
      </c>
      <c r="C10" s="6" t="str">
        <f t="shared" si="0"/>
        <v>Richiesta</v>
      </c>
      <c r="D10" s="5"/>
      <c r="E10" s="6" t="str">
        <f t="shared" si="4"/>
        <v>180</v>
      </c>
      <c r="F10" s="6" t="str">
        <f t="shared" si="2"/>
        <v>No</v>
      </c>
      <c r="G10" s="6" t="str">
        <f t="shared" si="3"/>
        <v/>
      </c>
      <c r="H10" s="9"/>
    </row>
    <row r="11" spans="1:8" x14ac:dyDescent="0.2">
      <c r="A11" s="12"/>
      <c r="B11" s="5" t="s">
        <v>40</v>
      </c>
      <c r="C11" s="6" t="str">
        <f t="shared" si="0"/>
        <v>Risposta</v>
      </c>
      <c r="D11" s="5">
        <v>10</v>
      </c>
      <c r="E11" s="6" t="str">
        <f t="shared" si="4"/>
        <v>180</v>
      </c>
      <c r="F11" s="6" t="str">
        <f t="shared" si="2"/>
        <v>No</v>
      </c>
      <c r="G11" s="6">
        <f t="shared" si="3"/>
        <v>43.3</v>
      </c>
      <c r="H11" s="6" t="s">
        <v>107</v>
      </c>
    </row>
    <row r="12" spans="1:8" x14ac:dyDescent="0.2">
      <c r="A12" s="12" t="s">
        <v>110</v>
      </c>
      <c r="B12" s="5" t="s">
        <v>41</v>
      </c>
      <c r="C12" s="6" t="str">
        <f t="shared" si="0"/>
        <v>Richiesta</v>
      </c>
      <c r="D12" s="5"/>
      <c r="E12" s="6" t="str">
        <f t="shared" si="4"/>
        <v>180</v>
      </c>
      <c r="F12" s="6" t="str">
        <f t="shared" si="2"/>
        <v>No</v>
      </c>
      <c r="G12" s="6" t="str">
        <f t="shared" si="3"/>
        <v/>
      </c>
      <c r="H12" s="9"/>
    </row>
    <row r="13" spans="1:8" x14ac:dyDescent="0.2">
      <c r="A13" s="12"/>
      <c r="B13" s="5" t="s">
        <v>42</v>
      </c>
      <c r="C13" s="6" t="str">
        <f t="shared" si="0"/>
        <v>Risposta</v>
      </c>
      <c r="D13" s="5">
        <v>10</v>
      </c>
      <c r="E13" s="6" t="str">
        <f t="shared" si="4"/>
        <v>180</v>
      </c>
      <c r="F13" s="6" t="str">
        <f t="shared" si="2"/>
        <v>No</v>
      </c>
      <c r="G13" s="6">
        <f t="shared" si="3"/>
        <v>46</v>
      </c>
      <c r="H13" s="6" t="s">
        <v>107</v>
      </c>
    </row>
    <row r="14" spans="1:8" x14ac:dyDescent="0.2">
      <c r="A14" s="12" t="s">
        <v>43</v>
      </c>
      <c r="B14" s="5" t="s">
        <v>44</v>
      </c>
      <c r="C14" s="6" t="str">
        <f t="shared" si="0"/>
        <v>Richiesta</v>
      </c>
      <c r="D14" s="5"/>
      <c r="E14" s="6" t="str">
        <f t="shared" si="4"/>
        <v>180</v>
      </c>
      <c r="F14" s="6" t="str">
        <f t="shared" si="2"/>
        <v>No</v>
      </c>
      <c r="G14" s="6" t="str">
        <f t="shared" si="3"/>
        <v/>
      </c>
      <c r="H14" s="9"/>
    </row>
    <row r="15" spans="1:8" x14ac:dyDescent="0.2">
      <c r="A15" s="12"/>
      <c r="B15" s="5" t="s">
        <v>45</v>
      </c>
      <c r="C15" s="6" t="str">
        <f t="shared" si="0"/>
        <v>Risposta</v>
      </c>
      <c r="D15" s="5">
        <v>10</v>
      </c>
      <c r="E15" s="6" t="str">
        <f t="shared" si="4"/>
        <v>180</v>
      </c>
      <c r="F15" s="6" t="str">
        <f t="shared" si="2"/>
        <v>No</v>
      </c>
      <c r="G15" s="6">
        <f t="shared" si="3"/>
        <v>22.3</v>
      </c>
      <c r="H15" s="6" t="s">
        <v>107</v>
      </c>
    </row>
    <row r="16" spans="1:8" x14ac:dyDescent="0.2">
      <c r="A16" s="12" t="s">
        <v>46</v>
      </c>
      <c r="B16" s="5" t="s">
        <v>47</v>
      </c>
      <c r="C16" s="6" t="str">
        <f t="shared" si="0"/>
        <v>Richiesta</v>
      </c>
      <c r="D16" s="5"/>
      <c r="E16" s="6" t="str">
        <f t="shared" si="4"/>
        <v>180</v>
      </c>
      <c r="F16" s="6" t="str">
        <f t="shared" si="2"/>
        <v>Si</v>
      </c>
      <c r="G16" s="6" t="str">
        <f t="shared" si="3"/>
        <v/>
      </c>
      <c r="H16" s="9"/>
    </row>
    <row r="17" spans="1:8" x14ac:dyDescent="0.2">
      <c r="A17" s="12"/>
      <c r="B17" s="5" t="s">
        <v>48</v>
      </c>
      <c r="C17" s="6" t="str">
        <f t="shared" si="0"/>
        <v>Risposta</v>
      </c>
      <c r="D17" s="5">
        <v>1</v>
      </c>
      <c r="E17" s="6" t="str">
        <f t="shared" si="4"/>
        <v>180</v>
      </c>
      <c r="F17" s="6" t="str">
        <f t="shared" si="2"/>
        <v>Si</v>
      </c>
      <c r="G17" s="6">
        <f t="shared" si="3"/>
        <v>1392</v>
      </c>
      <c r="H17" s="6" t="s">
        <v>109</v>
      </c>
    </row>
    <row r="18" spans="1:8" x14ac:dyDescent="0.2">
      <c r="A18" s="12" t="s">
        <v>111</v>
      </c>
      <c r="B18" s="5" t="s">
        <v>49</v>
      </c>
      <c r="C18" s="6" t="str">
        <f t="shared" si="0"/>
        <v>Richiesta</v>
      </c>
      <c r="D18" s="5"/>
      <c r="E18" s="6" t="str">
        <f t="shared" si="4"/>
        <v>600</v>
      </c>
      <c r="F18" s="6" t="str">
        <f t="shared" si="2"/>
        <v>No</v>
      </c>
      <c r="G18" s="6" t="str">
        <f t="shared" si="3"/>
        <v/>
      </c>
      <c r="H18" s="9"/>
    </row>
    <row r="19" spans="1:8" x14ac:dyDescent="0.2">
      <c r="A19" s="12"/>
      <c r="B19" s="5" t="s">
        <v>50</v>
      </c>
      <c r="C19" s="6" t="str">
        <f t="shared" si="0"/>
        <v>Risposta</v>
      </c>
      <c r="D19" s="5">
        <v>10</v>
      </c>
      <c r="E19" s="6" t="str">
        <f t="shared" si="4"/>
        <v>10A</v>
      </c>
      <c r="F19" s="6" t="str">
        <f t="shared" si="2"/>
        <v>No</v>
      </c>
      <c r="G19" s="6">
        <f t="shared" si="3"/>
        <v>23.5</v>
      </c>
      <c r="H19" s="6"/>
    </row>
    <row r="20" spans="1:8" x14ac:dyDescent="0.2">
      <c r="A20" s="12" t="s">
        <v>112</v>
      </c>
      <c r="B20" s="5" t="s">
        <v>51</v>
      </c>
      <c r="C20" s="6" t="str">
        <f t="shared" si="0"/>
        <v>Richiesta</v>
      </c>
      <c r="D20" s="5"/>
      <c r="E20" s="6" t="str">
        <f t="shared" si="4"/>
        <v>300</v>
      </c>
      <c r="F20" s="6" t="str">
        <f t="shared" si="2"/>
        <v>No</v>
      </c>
      <c r="G20" s="6" t="str">
        <f t="shared" si="3"/>
        <v/>
      </c>
      <c r="H20" s="9"/>
    </row>
    <row r="21" spans="1:8" x14ac:dyDescent="0.2">
      <c r="A21" s="12"/>
      <c r="B21" s="5" t="s">
        <v>52</v>
      </c>
      <c r="C21" s="6" t="str">
        <f t="shared" si="0"/>
        <v>Risposta</v>
      </c>
      <c r="D21" s="5">
        <v>10</v>
      </c>
      <c r="E21" s="6" t="str">
        <f t="shared" si="4"/>
        <v>300</v>
      </c>
      <c r="F21" s="6" t="str">
        <f t="shared" si="2"/>
        <v>No</v>
      </c>
      <c r="G21" s="6">
        <f t="shared" si="3"/>
        <v>25.7</v>
      </c>
      <c r="H21" s="6"/>
    </row>
    <row r="22" spans="1:8" x14ac:dyDescent="0.2">
      <c r="A22" s="12" t="s">
        <v>53</v>
      </c>
      <c r="B22" s="5" t="s">
        <v>54</v>
      </c>
      <c r="C22" s="6" t="str">
        <f t="shared" si="0"/>
        <v>Richiesta</v>
      </c>
      <c r="D22" s="5"/>
      <c r="E22" s="6" t="str">
        <f t="shared" si="4"/>
        <v>180</v>
      </c>
      <c r="F22" s="6" t="str">
        <f t="shared" si="2"/>
        <v>Si</v>
      </c>
      <c r="G22" s="6" t="str">
        <f t="shared" si="3"/>
        <v/>
      </c>
      <c r="H22" s="9"/>
    </row>
    <row r="23" spans="1:8" x14ac:dyDescent="0.2">
      <c r="A23" s="12"/>
      <c r="B23" s="5" t="s">
        <v>55</v>
      </c>
      <c r="C23" s="6" t="str">
        <f t="shared" si="0"/>
        <v>Risposta</v>
      </c>
      <c r="D23" s="5">
        <v>1</v>
      </c>
      <c r="E23" s="6" t="str">
        <f t="shared" si="4"/>
        <v>180</v>
      </c>
      <c r="F23" s="6" t="str">
        <f t="shared" si="2"/>
        <v>Si</v>
      </c>
      <c r="G23" s="6">
        <f t="shared" si="3"/>
        <v>1</v>
      </c>
      <c r="H23" s="6" t="s">
        <v>102</v>
      </c>
    </row>
    <row r="24" spans="1:8" x14ac:dyDescent="0.2">
      <c r="A24" s="12" t="s">
        <v>58</v>
      </c>
      <c r="B24" s="5" t="s">
        <v>59</v>
      </c>
      <c r="C24" s="6" t="str">
        <f t="shared" si="0"/>
        <v>Richiesta</v>
      </c>
      <c r="D24" s="5"/>
      <c r="E24" s="6" t="str">
        <f t="shared" ref="E24:E40" si="5">DEC2HEX(BITAND(HEX2DEC(MID(B24,1,2)),HEX2DEC("F0"))*8+BITAND(HEX2DEC(MID(B24,4,2)),HEX2DEC("0F")))</f>
        <v>180</v>
      </c>
      <c r="F24" s="6" t="str">
        <f t="shared" si="2"/>
        <v>Si</v>
      </c>
      <c r="G24" s="6" t="str">
        <f t="shared" si="3"/>
        <v/>
      </c>
      <c r="H24" s="9"/>
    </row>
    <row r="25" spans="1:8" x14ac:dyDescent="0.2">
      <c r="A25" s="12"/>
      <c r="B25" s="5" t="s">
        <v>60</v>
      </c>
      <c r="C25" s="6" t="str">
        <f t="shared" si="0"/>
        <v>Risposta</v>
      </c>
      <c r="D25" s="5">
        <v>1</v>
      </c>
      <c r="E25" s="6" t="str">
        <f>DEC2HEX(BITAND(HEX2DEC(MID(B25,1,2)),HEX2DEC("F0"))*8+BITAND(HEX2DEC(MID(B25,4,2)),HEX2DEC("0F")))</f>
        <v>180</v>
      </c>
      <c r="F25" s="6" t="str">
        <f t="shared" si="2"/>
        <v>Si</v>
      </c>
      <c r="G25" s="6">
        <f t="shared" si="3"/>
        <v>408</v>
      </c>
      <c r="H25" s="6" t="s">
        <v>106</v>
      </c>
    </row>
    <row r="26" spans="1:8" x14ac:dyDescent="0.2">
      <c r="A26" s="12" t="s">
        <v>61</v>
      </c>
      <c r="B26" s="5" t="s">
        <v>62</v>
      </c>
      <c r="C26" s="6" t="str">
        <f t="shared" si="0"/>
        <v>Richiesta</v>
      </c>
      <c r="D26" s="5"/>
      <c r="E26" s="6" t="str">
        <f t="shared" si="5"/>
        <v>180</v>
      </c>
      <c r="F26" s="6" t="str">
        <f t="shared" si="2"/>
        <v>Si</v>
      </c>
      <c r="G26" s="6" t="str">
        <f t="shared" si="3"/>
        <v/>
      </c>
      <c r="H26" s="9"/>
    </row>
    <row r="27" spans="1:8" x14ac:dyDescent="0.2">
      <c r="A27" s="12"/>
      <c r="B27" s="5" t="s">
        <v>63</v>
      </c>
      <c r="C27" s="6" t="str">
        <f t="shared" si="0"/>
        <v>Risposta</v>
      </c>
      <c r="D27" s="5">
        <v>1</v>
      </c>
      <c r="E27" s="6" t="str">
        <f t="shared" si="5"/>
        <v>180</v>
      </c>
      <c r="F27" s="6" t="str">
        <f t="shared" si="2"/>
        <v>Si</v>
      </c>
      <c r="G27" s="6">
        <f t="shared" si="3"/>
        <v>566</v>
      </c>
      <c r="H27" s="6" t="s">
        <v>106</v>
      </c>
    </row>
    <row r="28" spans="1:8" x14ac:dyDescent="0.2">
      <c r="A28" s="12" t="s">
        <v>64</v>
      </c>
      <c r="B28" s="5" t="s">
        <v>65</v>
      </c>
      <c r="C28" s="6" t="str">
        <f t="shared" si="0"/>
        <v>Richiesta</v>
      </c>
      <c r="D28" s="5"/>
      <c r="E28" s="6" t="str">
        <f t="shared" si="5"/>
        <v>180</v>
      </c>
      <c r="F28" s="6" t="str">
        <f t="shared" si="2"/>
        <v>Si</v>
      </c>
      <c r="G28" s="6" t="str">
        <f t="shared" si="3"/>
        <v/>
      </c>
      <c r="H28" s="9"/>
    </row>
    <row r="29" spans="1:8" x14ac:dyDescent="0.2">
      <c r="A29" s="12"/>
      <c r="B29" s="5" t="s">
        <v>66</v>
      </c>
      <c r="C29" s="6" t="str">
        <f t="shared" si="0"/>
        <v>Risposta</v>
      </c>
      <c r="D29" s="5">
        <v>1</v>
      </c>
      <c r="E29" s="6" t="str">
        <f t="shared" si="5"/>
        <v>180</v>
      </c>
      <c r="F29" s="6" t="str">
        <f t="shared" si="2"/>
        <v>Si</v>
      </c>
      <c r="G29" s="6">
        <f t="shared" si="3"/>
        <v>0</v>
      </c>
      <c r="H29" s="6"/>
    </row>
    <row r="30" spans="1:8" x14ac:dyDescent="0.2">
      <c r="A30" s="12" t="s">
        <v>67</v>
      </c>
      <c r="B30" s="5" t="s">
        <v>68</v>
      </c>
      <c r="C30" s="6" t="str">
        <f t="shared" si="0"/>
        <v>Richiesta</v>
      </c>
      <c r="D30" s="5"/>
      <c r="E30" s="6" t="str">
        <f t="shared" si="5"/>
        <v>180</v>
      </c>
      <c r="F30" s="6" t="str">
        <f t="shared" si="2"/>
        <v>Si</v>
      </c>
      <c r="G30" s="6" t="str">
        <f t="shared" si="3"/>
        <v/>
      </c>
      <c r="H30" s="9"/>
    </row>
    <row r="31" spans="1:8" x14ac:dyDescent="0.2">
      <c r="A31" s="12"/>
      <c r="B31" s="5" t="s">
        <v>69</v>
      </c>
      <c r="C31" s="6" t="str">
        <f t="shared" si="0"/>
        <v>Risposta</v>
      </c>
      <c r="D31" s="5">
        <v>1</v>
      </c>
      <c r="E31" s="6" t="str">
        <f t="shared" si="5"/>
        <v>180</v>
      </c>
      <c r="F31" s="6" t="str">
        <f t="shared" si="2"/>
        <v>Si</v>
      </c>
      <c r="G31" s="6">
        <f t="shared" si="3"/>
        <v>24</v>
      </c>
      <c r="H31" s="6"/>
    </row>
    <row r="32" spans="1:8" x14ac:dyDescent="0.2">
      <c r="A32" s="12" t="s">
        <v>72</v>
      </c>
      <c r="B32" s="5" t="s">
        <v>70</v>
      </c>
      <c r="C32" s="6" t="str">
        <f t="shared" si="0"/>
        <v>Richiesta</v>
      </c>
      <c r="D32" s="5"/>
      <c r="E32" s="6" t="str">
        <f t="shared" si="5"/>
        <v>180</v>
      </c>
      <c r="F32" s="6" t="str">
        <f t="shared" si="2"/>
        <v>Si</v>
      </c>
      <c r="G32" s="6" t="str">
        <f t="shared" si="3"/>
        <v/>
      </c>
      <c r="H32" s="9"/>
    </row>
    <row r="33" spans="1:8" x14ac:dyDescent="0.2">
      <c r="A33" s="12"/>
      <c r="B33" s="5" t="s">
        <v>71</v>
      </c>
      <c r="C33" s="6" t="str">
        <f t="shared" si="0"/>
        <v>Risposta</v>
      </c>
      <c r="D33" s="5">
        <v>1</v>
      </c>
      <c r="E33" s="6" t="str">
        <f t="shared" si="5"/>
        <v>180</v>
      </c>
      <c r="F33" s="6" t="str">
        <f t="shared" si="2"/>
        <v>Si</v>
      </c>
      <c r="G33" s="6">
        <f t="shared" si="3"/>
        <v>4</v>
      </c>
      <c r="H33" s="6"/>
    </row>
    <row r="34" spans="1:8" x14ac:dyDescent="0.2">
      <c r="A34" s="12" t="s">
        <v>75</v>
      </c>
      <c r="B34" s="5" t="s">
        <v>73</v>
      </c>
      <c r="C34" s="6" t="str">
        <f t="shared" si="0"/>
        <v>Richiesta</v>
      </c>
      <c r="D34" s="5"/>
      <c r="E34" s="6" t="str">
        <f t="shared" si="5"/>
        <v>180</v>
      </c>
      <c r="F34" s="6" t="str">
        <f t="shared" si="2"/>
        <v>Si</v>
      </c>
      <c r="G34" s="6" t="str">
        <f t="shared" si="3"/>
        <v/>
      </c>
      <c r="H34" s="9"/>
    </row>
    <row r="35" spans="1:8" x14ac:dyDescent="0.2">
      <c r="A35" s="12"/>
      <c r="B35" s="5" t="s">
        <v>74</v>
      </c>
      <c r="C35" s="6" t="str">
        <f t="shared" si="0"/>
        <v>Risposta</v>
      </c>
      <c r="D35" s="5">
        <v>1</v>
      </c>
      <c r="E35" s="6" t="str">
        <f t="shared" si="5"/>
        <v>180</v>
      </c>
      <c r="F35" s="6" t="str">
        <f t="shared" si="2"/>
        <v>Si</v>
      </c>
      <c r="G35" s="6">
        <f t="shared" si="3"/>
        <v>0</v>
      </c>
      <c r="H35" s="6"/>
    </row>
    <row r="36" spans="1:8" x14ac:dyDescent="0.2">
      <c r="A36" s="12" t="s">
        <v>78</v>
      </c>
      <c r="B36" s="5" t="s">
        <v>76</v>
      </c>
      <c r="C36" s="6" t="str">
        <f t="shared" si="0"/>
        <v>Richiesta</v>
      </c>
      <c r="D36" s="5"/>
      <c r="E36" s="6" t="str">
        <f t="shared" si="5"/>
        <v>180</v>
      </c>
      <c r="F36" s="6" t="str">
        <f t="shared" si="2"/>
        <v>Si</v>
      </c>
      <c r="G36" s="6" t="str">
        <f t="shared" si="3"/>
        <v/>
      </c>
      <c r="H36" s="9"/>
    </row>
    <row r="37" spans="1:8" x14ac:dyDescent="0.2">
      <c r="A37" s="12"/>
      <c r="B37" s="5" t="s">
        <v>77</v>
      </c>
      <c r="C37" s="6" t="str">
        <f t="shared" si="0"/>
        <v>Risposta</v>
      </c>
      <c r="D37" s="5">
        <v>1</v>
      </c>
      <c r="E37" s="6" t="str">
        <f t="shared" si="5"/>
        <v>180</v>
      </c>
      <c r="F37" s="6" t="str">
        <f t="shared" si="2"/>
        <v>Si</v>
      </c>
      <c r="G37" s="6">
        <f t="shared" si="3"/>
        <v>2223</v>
      </c>
      <c r="H37" s="6"/>
    </row>
    <row r="38" spans="1:8" x14ac:dyDescent="0.2">
      <c r="A38" s="12" t="s">
        <v>81</v>
      </c>
      <c r="B38" s="5" t="s">
        <v>79</v>
      </c>
      <c r="C38" s="6" t="str">
        <f t="shared" si="0"/>
        <v>Richiesta</v>
      </c>
      <c r="D38" s="5"/>
      <c r="E38" s="6" t="str">
        <f t="shared" si="5"/>
        <v>180</v>
      </c>
      <c r="F38" s="6" t="str">
        <f t="shared" si="2"/>
        <v>Si</v>
      </c>
      <c r="G38" s="6" t="str">
        <f t="shared" si="3"/>
        <v/>
      </c>
      <c r="H38" s="9"/>
    </row>
    <row r="39" spans="1:8" x14ac:dyDescent="0.2">
      <c r="A39" s="12"/>
      <c r="B39" s="5" t="s">
        <v>80</v>
      </c>
      <c r="C39" s="6" t="str">
        <f t="shared" si="0"/>
        <v>Risposta</v>
      </c>
      <c r="D39" s="5">
        <v>1</v>
      </c>
      <c r="E39" s="6" t="str">
        <f t="shared" si="5"/>
        <v>180</v>
      </c>
      <c r="F39" s="6" t="str">
        <f t="shared" si="2"/>
        <v>Si</v>
      </c>
      <c r="G39" s="6">
        <f t="shared" si="3"/>
        <v>2579</v>
      </c>
      <c r="H39" s="6"/>
    </row>
    <row r="40" spans="1:8" x14ac:dyDescent="0.2">
      <c r="A40" s="12" t="s">
        <v>84</v>
      </c>
      <c r="B40" s="5" t="s">
        <v>82</v>
      </c>
      <c r="C40" s="6" t="str">
        <f t="shared" si="0"/>
        <v>Richiesta</v>
      </c>
      <c r="D40" s="5"/>
      <c r="E40" s="6" t="str">
        <f t="shared" si="5"/>
        <v>180</v>
      </c>
      <c r="F40" s="6" t="str">
        <f t="shared" si="2"/>
        <v>Si</v>
      </c>
      <c r="G40" s="6" t="str">
        <f t="shared" si="3"/>
        <v/>
      </c>
      <c r="H40" s="9"/>
    </row>
    <row r="41" spans="1:8" x14ac:dyDescent="0.2">
      <c r="A41" s="12"/>
      <c r="B41" s="5" t="s">
        <v>83</v>
      </c>
      <c r="C41" s="6" t="str">
        <f t="shared" si="0"/>
        <v>Risposta</v>
      </c>
      <c r="D41" s="5">
        <v>1</v>
      </c>
      <c r="E41" s="6" t="str">
        <f t="shared" ref="E41:E73" si="6">DEC2HEX(BITAND(HEX2DEC(MID(B41,1,2)),HEX2DEC("F0"))*8+BITAND(HEX2DEC(MID(B41,4,2)),HEX2DEC("0F")))</f>
        <v>180</v>
      </c>
      <c r="F41" s="6" t="str">
        <f t="shared" si="2"/>
        <v>Si</v>
      </c>
      <c r="G41" s="6">
        <f t="shared" si="3"/>
        <v>379</v>
      </c>
      <c r="H41" s="6"/>
    </row>
    <row r="42" spans="1:8" x14ac:dyDescent="0.2">
      <c r="A42" s="12" t="s">
        <v>105</v>
      </c>
      <c r="B42" s="5" t="s">
        <v>85</v>
      </c>
      <c r="C42" s="6" t="str">
        <f t="shared" si="0"/>
        <v>Richiesta</v>
      </c>
      <c r="D42" s="5"/>
      <c r="E42" s="6" t="str">
        <f t="shared" si="6"/>
        <v>180</v>
      </c>
      <c r="F42" s="6" t="str">
        <f t="shared" si="2"/>
        <v>Si</v>
      </c>
      <c r="G42" s="6" t="str">
        <f t="shared" si="3"/>
        <v/>
      </c>
      <c r="H42" s="9"/>
    </row>
    <row r="43" spans="1:8" x14ac:dyDescent="0.2">
      <c r="A43" s="12"/>
      <c r="B43" s="5" t="s">
        <v>86</v>
      </c>
      <c r="C43" s="6" t="str">
        <f t="shared" si="0"/>
        <v>Risposta</v>
      </c>
      <c r="D43" s="5">
        <v>1</v>
      </c>
      <c r="E43" s="6" t="str">
        <f t="shared" si="6"/>
        <v>180</v>
      </c>
      <c r="F43" s="6" t="str">
        <f t="shared" si="2"/>
        <v>Si</v>
      </c>
      <c r="G43" s="6">
        <f t="shared" si="3"/>
        <v>366</v>
      </c>
      <c r="H43" s="6"/>
    </row>
    <row r="44" spans="1:8" x14ac:dyDescent="0.2">
      <c r="A44" s="12" t="s">
        <v>88</v>
      </c>
      <c r="B44" s="5" t="s">
        <v>87</v>
      </c>
      <c r="C44" s="6" t="str">
        <f t="shared" si="0"/>
        <v>Richiesta</v>
      </c>
      <c r="D44" s="5"/>
      <c r="E44" s="6" t="str">
        <f t="shared" si="6"/>
        <v>180</v>
      </c>
      <c r="F44" s="6" t="str">
        <f t="shared" si="2"/>
        <v>Si</v>
      </c>
      <c r="G44" s="6" t="str">
        <f t="shared" si="3"/>
        <v/>
      </c>
      <c r="H44" s="9"/>
    </row>
    <row r="45" spans="1:8" x14ac:dyDescent="0.2">
      <c r="A45" s="12"/>
      <c r="B45" s="5" t="s">
        <v>36</v>
      </c>
      <c r="C45" s="6" t="str">
        <f t="shared" si="0"/>
        <v>Risposta</v>
      </c>
      <c r="D45" s="5">
        <v>1</v>
      </c>
      <c r="E45" s="6" t="str">
        <f t="shared" si="6"/>
        <v>180</v>
      </c>
      <c r="F45" s="6" t="str">
        <f t="shared" si="2"/>
        <v>Si</v>
      </c>
      <c r="G45" s="6">
        <f t="shared" si="3"/>
        <v>34</v>
      </c>
      <c r="H45" s="6"/>
    </row>
    <row r="46" spans="1:8" x14ac:dyDescent="0.2">
      <c r="A46" s="12" t="s">
        <v>91</v>
      </c>
      <c r="B46" s="5" t="s">
        <v>89</v>
      </c>
      <c r="C46" s="6" t="str">
        <f t="shared" si="0"/>
        <v>Richiesta</v>
      </c>
      <c r="D46" s="5"/>
      <c r="E46" s="6" t="str">
        <f t="shared" si="6"/>
        <v>180</v>
      </c>
      <c r="F46" s="6" t="str">
        <f t="shared" si="2"/>
        <v>Si</v>
      </c>
      <c r="G46" s="6" t="str">
        <f t="shared" si="3"/>
        <v/>
      </c>
      <c r="H46" s="9"/>
    </row>
    <row r="47" spans="1:8" x14ac:dyDescent="0.2">
      <c r="A47" s="12"/>
      <c r="B47" s="5" t="s">
        <v>90</v>
      </c>
      <c r="C47" s="6" t="str">
        <f t="shared" si="0"/>
        <v>Risposta</v>
      </c>
      <c r="D47" s="5">
        <v>1</v>
      </c>
      <c r="E47" s="6" t="str">
        <f t="shared" si="6"/>
        <v>180</v>
      </c>
      <c r="F47" s="6" t="str">
        <f t="shared" si="2"/>
        <v>Si</v>
      </c>
      <c r="G47" s="6">
        <f t="shared" si="3"/>
        <v>8257</v>
      </c>
      <c r="H47" s="6"/>
    </row>
    <row r="48" spans="1:8" x14ac:dyDescent="0.2">
      <c r="A48" s="12" t="s">
        <v>92</v>
      </c>
      <c r="B48" s="5" t="s">
        <v>93</v>
      </c>
      <c r="C48" s="6" t="str">
        <f t="shared" si="0"/>
        <v>Richiesta</v>
      </c>
      <c r="D48" s="5"/>
      <c r="E48" s="6" t="str">
        <f t="shared" si="6"/>
        <v>180</v>
      </c>
      <c r="F48" s="6" t="str">
        <f t="shared" si="2"/>
        <v>Si</v>
      </c>
      <c r="G48" s="6" t="str">
        <f t="shared" si="3"/>
        <v/>
      </c>
      <c r="H48" s="9"/>
    </row>
    <row r="49" spans="1:8" x14ac:dyDescent="0.2">
      <c r="A49" s="12"/>
      <c r="B49" s="5" t="s">
        <v>94</v>
      </c>
      <c r="C49" s="6" t="str">
        <f t="shared" si="0"/>
        <v>Risposta</v>
      </c>
      <c r="D49" s="5">
        <v>1</v>
      </c>
      <c r="E49" s="6" t="str">
        <f t="shared" si="6"/>
        <v>180</v>
      </c>
      <c r="F49" s="6" t="str">
        <f t="shared" si="2"/>
        <v>Si</v>
      </c>
      <c r="G49" s="6">
        <f t="shared" ref="G49:G73" si="7">IF(D49&lt;&gt;"",IF(MID(B49,7,2)="FA",HEX2DEC(MID(B49,16,2)&amp;MID(B49,19,2))/D49,HEX2DEC(MID(B49,10,2)&amp;MID(B49,13,2))/D49),"")</f>
        <v>768</v>
      </c>
      <c r="H49" s="6" t="s">
        <v>104</v>
      </c>
    </row>
    <row r="50" spans="1:8" x14ac:dyDescent="0.2">
      <c r="A50" s="12" t="s">
        <v>125</v>
      </c>
      <c r="B50" s="5" t="s">
        <v>126</v>
      </c>
      <c r="C50" s="6" t="str">
        <f t="shared" si="0"/>
        <v>Richiesta</v>
      </c>
      <c r="D50" s="5"/>
      <c r="E50" s="6" t="str">
        <f t="shared" si="6"/>
        <v>180</v>
      </c>
      <c r="F50" s="6" t="str">
        <f t="shared" ref="F50:F73" si="8">IF(MID(B50,7,2)="FA","Si","No")</f>
        <v>Si</v>
      </c>
      <c r="G50" s="6" t="str">
        <f t="shared" si="7"/>
        <v/>
      </c>
      <c r="H50" s="9"/>
    </row>
    <row r="51" spans="1:8" x14ac:dyDescent="0.2">
      <c r="A51" s="12"/>
      <c r="B51" s="5" t="s">
        <v>127</v>
      </c>
      <c r="C51" s="6" t="str">
        <f t="shared" si="0"/>
        <v>Risposta</v>
      </c>
      <c r="D51" s="5">
        <v>10</v>
      </c>
      <c r="E51" s="6" t="str">
        <f t="shared" si="6"/>
        <v>10A</v>
      </c>
      <c r="F51" s="6" t="str">
        <f t="shared" si="8"/>
        <v>Si</v>
      </c>
      <c r="G51" s="6">
        <f t="shared" si="7"/>
        <v>31.5</v>
      </c>
      <c r="H51" s="6"/>
    </row>
    <row r="52" spans="1:8" x14ac:dyDescent="0.2">
      <c r="A52" s="12" t="s">
        <v>128</v>
      </c>
      <c r="B52" s="5" t="s">
        <v>129</v>
      </c>
      <c r="C52" s="6" t="str">
        <f t="shared" si="0"/>
        <v>Richiesta</v>
      </c>
      <c r="D52" s="5"/>
      <c r="E52" s="6" t="str">
        <f t="shared" si="6"/>
        <v>180</v>
      </c>
      <c r="F52" s="6" t="str">
        <f t="shared" si="8"/>
        <v>Si</v>
      </c>
      <c r="G52" s="6" t="str">
        <f t="shared" si="7"/>
        <v/>
      </c>
      <c r="H52" s="9"/>
    </row>
    <row r="53" spans="1:8" x14ac:dyDescent="0.2">
      <c r="A53" s="12"/>
      <c r="B53" s="5" t="s">
        <v>0</v>
      </c>
      <c r="C53" s="6" t="str">
        <f t="shared" si="0"/>
        <v>Risposta</v>
      </c>
      <c r="D53" s="5">
        <v>10</v>
      </c>
      <c r="E53" s="6" t="str">
        <f t="shared" si="6"/>
        <v>10A</v>
      </c>
      <c r="F53" s="6" t="str">
        <f t="shared" si="8"/>
        <v>Si</v>
      </c>
      <c r="G53" s="6">
        <f t="shared" si="7"/>
        <v>31</v>
      </c>
      <c r="H53" s="6"/>
    </row>
    <row r="54" spans="1:8" x14ac:dyDescent="0.2">
      <c r="A54" s="12" t="s">
        <v>1</v>
      </c>
      <c r="B54" s="5" t="s">
        <v>2</v>
      </c>
      <c r="C54" s="6" t="str">
        <f t="shared" si="0"/>
        <v>Richiesta</v>
      </c>
      <c r="D54" s="5"/>
      <c r="E54" s="6" t="str">
        <f t="shared" si="6"/>
        <v>180</v>
      </c>
      <c r="F54" s="6" t="str">
        <f t="shared" si="8"/>
        <v>Si</v>
      </c>
      <c r="G54" s="6" t="str">
        <f t="shared" si="7"/>
        <v/>
      </c>
      <c r="H54" s="9"/>
    </row>
    <row r="55" spans="1:8" x14ac:dyDescent="0.2">
      <c r="A55" s="12"/>
      <c r="B55" s="5" t="s">
        <v>3</v>
      </c>
      <c r="C55" s="6" t="str">
        <f t="shared" si="0"/>
        <v>Risposta</v>
      </c>
      <c r="D55" s="5">
        <v>10</v>
      </c>
      <c r="E55" s="6" t="str">
        <f t="shared" si="6"/>
        <v>10A</v>
      </c>
      <c r="F55" s="6" t="str">
        <f t="shared" si="8"/>
        <v>Si</v>
      </c>
      <c r="G55" s="6">
        <f t="shared" si="7"/>
        <v>25</v>
      </c>
      <c r="H55" s="6"/>
    </row>
    <row r="56" spans="1:8" x14ac:dyDescent="0.2">
      <c r="A56" s="12" t="s">
        <v>4</v>
      </c>
      <c r="B56" s="5" t="s">
        <v>5</v>
      </c>
      <c r="C56" s="6" t="str">
        <f t="shared" si="0"/>
        <v>Richiesta</v>
      </c>
      <c r="D56" s="5"/>
      <c r="E56" s="6" t="str">
        <f t="shared" si="6"/>
        <v>180</v>
      </c>
      <c r="F56" s="6" t="str">
        <f t="shared" si="8"/>
        <v>Si</v>
      </c>
      <c r="G56" s="6" t="str">
        <f t="shared" si="7"/>
        <v/>
      </c>
      <c r="H56" s="9"/>
    </row>
    <row r="57" spans="1:8" x14ac:dyDescent="0.2">
      <c r="A57" s="12"/>
      <c r="B57" s="5" t="s">
        <v>6</v>
      </c>
      <c r="C57" s="6" t="str">
        <f t="shared" si="0"/>
        <v>Risposta</v>
      </c>
      <c r="D57" s="5">
        <v>10</v>
      </c>
      <c r="E57" s="6" t="str">
        <f t="shared" si="6"/>
        <v>10A</v>
      </c>
      <c r="F57" s="6" t="str">
        <f t="shared" si="8"/>
        <v>Si</v>
      </c>
      <c r="G57" s="6">
        <f t="shared" si="7"/>
        <v>7.5</v>
      </c>
      <c r="H57" s="6"/>
    </row>
    <row r="58" spans="1:8" x14ac:dyDescent="0.2">
      <c r="A58" s="12" t="s">
        <v>7</v>
      </c>
      <c r="B58" s="5" t="s">
        <v>8</v>
      </c>
      <c r="C58" s="6" t="str">
        <f t="shared" si="0"/>
        <v>Richiesta</v>
      </c>
      <c r="D58" s="5"/>
      <c r="E58" s="6" t="str">
        <f t="shared" si="6"/>
        <v>180</v>
      </c>
      <c r="F58" s="6" t="str">
        <f t="shared" si="8"/>
        <v>Si</v>
      </c>
      <c r="G58" s="6" t="str">
        <f t="shared" si="7"/>
        <v/>
      </c>
      <c r="H58" s="9"/>
    </row>
    <row r="59" spans="1:8" x14ac:dyDescent="0.2">
      <c r="A59" s="12"/>
      <c r="B59" s="5" t="s">
        <v>9</v>
      </c>
      <c r="C59" s="6" t="str">
        <f t="shared" si="0"/>
        <v>Risposta</v>
      </c>
      <c r="D59" s="5">
        <v>10</v>
      </c>
      <c r="E59" s="6" t="str">
        <f t="shared" si="6"/>
        <v>10A</v>
      </c>
      <c r="F59" s="6" t="str">
        <f t="shared" si="8"/>
        <v>Si</v>
      </c>
      <c r="G59" s="6">
        <f t="shared" si="7"/>
        <v>45.1</v>
      </c>
      <c r="H59" s="6"/>
    </row>
    <row r="60" spans="1:8" x14ac:dyDescent="0.2">
      <c r="A60" s="12" t="s">
        <v>10</v>
      </c>
      <c r="B60" s="5" t="s">
        <v>11</v>
      </c>
      <c r="C60" s="6" t="str">
        <f t="shared" si="0"/>
        <v>Richiesta</v>
      </c>
      <c r="D60" s="5"/>
      <c r="E60" s="6" t="str">
        <f t="shared" si="6"/>
        <v>180</v>
      </c>
      <c r="F60" s="6" t="str">
        <f t="shared" si="8"/>
        <v>Si</v>
      </c>
      <c r="G60" s="6" t="str">
        <f t="shared" si="7"/>
        <v/>
      </c>
      <c r="H60" s="9"/>
    </row>
    <row r="61" spans="1:8" x14ac:dyDescent="0.2">
      <c r="A61" s="12"/>
      <c r="B61" s="5" t="s">
        <v>12</v>
      </c>
      <c r="C61" s="6" t="str">
        <f t="shared" si="0"/>
        <v>Risposta</v>
      </c>
      <c r="D61" s="5">
        <v>1</v>
      </c>
      <c r="E61" s="6" t="str">
        <f t="shared" si="6"/>
        <v>10A</v>
      </c>
      <c r="F61" s="6" t="str">
        <f t="shared" si="8"/>
        <v>Si</v>
      </c>
      <c r="G61" s="6">
        <f t="shared" si="7"/>
        <v>0</v>
      </c>
      <c r="H61" s="6"/>
    </row>
    <row r="62" spans="1:8" x14ac:dyDescent="0.2">
      <c r="A62" s="4" t="s">
        <v>13</v>
      </c>
      <c r="B62" s="5" t="s">
        <v>18</v>
      </c>
      <c r="C62" s="6" t="str">
        <f t="shared" si="0"/>
        <v>Richiesta</v>
      </c>
      <c r="D62" s="5"/>
      <c r="E62" s="6" t="str">
        <f t="shared" si="6"/>
        <v>180</v>
      </c>
      <c r="F62" s="6" t="str">
        <f t="shared" si="8"/>
        <v>Si</v>
      </c>
      <c r="G62" s="6" t="str">
        <f t="shared" si="7"/>
        <v/>
      </c>
      <c r="H62" s="9"/>
    </row>
    <row r="63" spans="1:8" x14ac:dyDescent="0.2">
      <c r="A63" s="4"/>
      <c r="B63" s="5" t="s">
        <v>19</v>
      </c>
      <c r="C63" s="6" t="str">
        <f t="shared" si="0"/>
        <v>Risposta</v>
      </c>
      <c r="D63" s="5">
        <v>1</v>
      </c>
      <c r="E63" s="6" t="str">
        <f t="shared" si="6"/>
        <v>10A</v>
      </c>
      <c r="F63" s="6" t="str">
        <f t="shared" si="8"/>
        <v>Si</v>
      </c>
      <c r="G63" s="6">
        <f t="shared" si="7"/>
        <v>1</v>
      </c>
      <c r="H63" s="6"/>
    </row>
    <row r="64" spans="1:8" x14ac:dyDescent="0.2">
      <c r="A64" s="4" t="s">
        <v>14</v>
      </c>
      <c r="B64" s="5" t="s">
        <v>20</v>
      </c>
      <c r="C64" s="6" t="str">
        <f t="shared" si="0"/>
        <v>Richiesta</v>
      </c>
      <c r="D64" s="5"/>
      <c r="E64" s="6" t="str">
        <f t="shared" si="6"/>
        <v>180</v>
      </c>
      <c r="F64" s="6" t="str">
        <f t="shared" si="8"/>
        <v>Si</v>
      </c>
      <c r="G64" s="6" t="str">
        <f t="shared" si="7"/>
        <v/>
      </c>
      <c r="H64" s="9"/>
    </row>
    <row r="65" spans="1:8" x14ac:dyDescent="0.2">
      <c r="A65" s="4"/>
      <c r="B65" s="5" t="s">
        <v>21</v>
      </c>
      <c r="C65" s="6" t="str">
        <f t="shared" si="0"/>
        <v>Risposta</v>
      </c>
      <c r="D65" s="5"/>
      <c r="E65" s="6" t="str">
        <f t="shared" si="6"/>
        <v>10A</v>
      </c>
      <c r="F65" s="6" t="str">
        <f t="shared" si="8"/>
        <v>Si</v>
      </c>
      <c r="G65" s="6" t="str">
        <f t="shared" si="7"/>
        <v/>
      </c>
      <c r="H65" s="6"/>
    </row>
    <row r="66" spans="1:8" x14ac:dyDescent="0.2">
      <c r="A66" s="4" t="s">
        <v>15</v>
      </c>
      <c r="B66" s="5" t="s">
        <v>22</v>
      </c>
      <c r="C66" s="6" t="str">
        <f t="shared" ref="C66:C73" si="9">IF(MID(B66,2,1)="1","Richiesta","Risposta")</f>
        <v>Richiesta</v>
      </c>
      <c r="D66" s="5">
        <v>1</v>
      </c>
      <c r="E66" s="6" t="str">
        <f t="shared" si="6"/>
        <v>180</v>
      </c>
      <c r="F66" s="6" t="str">
        <f t="shared" si="8"/>
        <v>Si</v>
      </c>
      <c r="G66" s="6">
        <f t="shared" si="7"/>
        <v>0</v>
      </c>
      <c r="H66" s="9"/>
    </row>
    <row r="67" spans="1:8" x14ac:dyDescent="0.2">
      <c r="A67" s="4"/>
      <c r="B67" s="5" t="s">
        <v>23</v>
      </c>
      <c r="C67" s="6" t="str">
        <f t="shared" si="9"/>
        <v>Risposta</v>
      </c>
      <c r="D67" s="5"/>
      <c r="E67" s="6" t="str">
        <f t="shared" si="6"/>
        <v>10A</v>
      </c>
      <c r="F67" s="6" t="str">
        <f t="shared" si="8"/>
        <v>Si</v>
      </c>
      <c r="G67" s="6" t="str">
        <f t="shared" si="7"/>
        <v/>
      </c>
      <c r="H67" s="6"/>
    </row>
    <row r="68" spans="1:8" x14ac:dyDescent="0.2">
      <c r="A68" s="4" t="s">
        <v>16</v>
      </c>
      <c r="B68" s="5" t="s">
        <v>24</v>
      </c>
      <c r="C68" s="6" t="str">
        <f t="shared" si="9"/>
        <v>Richiesta</v>
      </c>
      <c r="D68" s="5">
        <v>1</v>
      </c>
      <c r="E68" s="6" t="str">
        <f t="shared" si="6"/>
        <v>180</v>
      </c>
      <c r="F68" s="6" t="str">
        <f t="shared" si="8"/>
        <v>Si</v>
      </c>
      <c r="G68" s="6">
        <f t="shared" si="7"/>
        <v>0</v>
      </c>
      <c r="H68" s="9"/>
    </row>
    <row r="69" spans="1:8" x14ac:dyDescent="0.2">
      <c r="A69" s="4"/>
      <c r="B69" s="5" t="s">
        <v>25</v>
      </c>
      <c r="C69" s="6" t="str">
        <f t="shared" si="9"/>
        <v>Risposta</v>
      </c>
      <c r="D69" s="5"/>
      <c r="E69" s="6" t="str">
        <f t="shared" si="6"/>
        <v>10A</v>
      </c>
      <c r="F69" s="6" t="str">
        <f t="shared" si="8"/>
        <v>Si</v>
      </c>
      <c r="G69" s="6" t="str">
        <f t="shared" si="7"/>
        <v/>
      </c>
      <c r="H69" s="6"/>
    </row>
    <row r="70" spans="1:8" x14ac:dyDescent="0.2">
      <c r="A70" s="4" t="s">
        <v>17</v>
      </c>
      <c r="B70" s="5" t="s">
        <v>26</v>
      </c>
      <c r="C70" s="6" t="str">
        <f t="shared" si="9"/>
        <v>Richiesta</v>
      </c>
      <c r="D70" s="5">
        <v>1</v>
      </c>
      <c r="E70" s="6" t="str">
        <f t="shared" si="6"/>
        <v>180</v>
      </c>
      <c r="F70" s="6" t="str">
        <f t="shared" si="8"/>
        <v>Si</v>
      </c>
      <c r="G70" s="6">
        <f t="shared" si="7"/>
        <v>0</v>
      </c>
      <c r="H70" s="9"/>
    </row>
    <row r="71" spans="1:8" x14ac:dyDescent="0.2">
      <c r="A71" s="4"/>
      <c r="B71" s="5" t="s">
        <v>27</v>
      </c>
      <c r="C71" s="6" t="str">
        <f t="shared" si="9"/>
        <v>Risposta</v>
      </c>
      <c r="D71" s="5"/>
      <c r="E71" s="6" t="str">
        <f t="shared" si="6"/>
        <v>10A</v>
      </c>
      <c r="F71" s="6" t="str">
        <f t="shared" si="8"/>
        <v>Si</v>
      </c>
      <c r="G71" s="6" t="str">
        <f t="shared" si="7"/>
        <v/>
      </c>
      <c r="H71" s="6"/>
    </row>
    <row r="72" spans="1:8" x14ac:dyDescent="0.2">
      <c r="A72" s="4" t="s">
        <v>28</v>
      </c>
      <c r="B72" s="5" t="s">
        <v>29</v>
      </c>
      <c r="C72" s="6" t="str">
        <f t="shared" si="9"/>
        <v>Richiesta</v>
      </c>
      <c r="D72" s="5">
        <v>1</v>
      </c>
      <c r="E72" s="6" t="str">
        <f t="shared" si="6"/>
        <v>180</v>
      </c>
      <c r="F72" s="6" t="str">
        <f t="shared" si="8"/>
        <v>Si</v>
      </c>
      <c r="G72" s="6">
        <f t="shared" si="7"/>
        <v>0</v>
      </c>
      <c r="H72" s="9"/>
    </row>
    <row r="73" spans="1:8" x14ac:dyDescent="0.2">
      <c r="A73" s="7"/>
      <c r="B73" s="8" t="s">
        <v>30</v>
      </c>
      <c r="C73" s="6" t="str">
        <f t="shared" si="9"/>
        <v>Risposta</v>
      </c>
      <c r="D73" s="5"/>
      <c r="E73" s="6" t="str">
        <f t="shared" si="6"/>
        <v>10A</v>
      </c>
      <c r="F73" s="6" t="str">
        <f t="shared" si="8"/>
        <v>Si</v>
      </c>
      <c r="G73" s="6" t="str">
        <f t="shared" si="7"/>
        <v/>
      </c>
      <c r="H73" s="6"/>
    </row>
  </sheetData>
  <phoneticPr fontId="1" type="noConversion"/>
  <pageMargins left="0.7" right="0.7" top="0.78740157499999996" bottom="0.78740157499999996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M5:N10"/>
  <sheetViews>
    <sheetView workbookViewId="0">
      <selection activeCell="N10" sqref="N10"/>
    </sheetView>
  </sheetViews>
  <sheetFormatPr defaultRowHeight="15" x14ac:dyDescent="0.25"/>
  <cols>
    <col min="13" max="13" width="16" bestFit="1" customWidth="1"/>
  </cols>
  <sheetData>
    <row r="5" spans="13:14" x14ac:dyDescent="0.25">
      <c r="M5" s="13" t="s">
        <v>113</v>
      </c>
      <c r="N5" t="s">
        <v>119</v>
      </c>
    </row>
    <row r="6" spans="13:14" x14ac:dyDescent="0.25">
      <c r="M6" s="13" t="s">
        <v>114</v>
      </c>
      <c r="N6" t="s">
        <v>120</v>
      </c>
    </row>
    <row r="7" spans="13:14" x14ac:dyDescent="0.25">
      <c r="M7" s="13" t="s">
        <v>115</v>
      </c>
      <c r="N7" t="s">
        <v>121</v>
      </c>
    </row>
    <row r="8" spans="13:14" x14ac:dyDescent="0.25">
      <c r="M8" s="13" t="s">
        <v>116</v>
      </c>
      <c r="N8" t="s">
        <v>122</v>
      </c>
    </row>
    <row r="9" spans="13:14" x14ac:dyDescent="0.25">
      <c r="M9" s="13" t="s">
        <v>117</v>
      </c>
      <c r="N9" t="s">
        <v>123</v>
      </c>
    </row>
    <row r="10" spans="13:14" x14ac:dyDescent="0.25">
      <c r="M10" s="13" t="s">
        <v>118</v>
      </c>
      <c r="N10" t="s">
        <v>124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Stringhe HPSU</vt:lpstr>
      <vt:lpstr>Setting ELM327</vt:lpstr>
    </vt:vector>
  </TitlesOfParts>
  <Company>Lurgi GmbH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michael.wind</dc:creator>
  <cp:lastModifiedBy>Brutto Vanni</cp:lastModifiedBy>
  <dcterms:created xsi:type="dcterms:W3CDTF">2015-03-12T13:23:11Z</dcterms:created>
  <dcterms:modified xsi:type="dcterms:W3CDTF">2016-12-19T13:20:11Z</dcterms:modified>
</cp:coreProperties>
</file>